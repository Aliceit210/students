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&amp; Marke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&quot;$&quot;#,##0.00"/>
    <numFmt numFmtId="166" formatCode="0.00&quot; units/$1K&quot;"/>
    <numFmt numFmtId="167" formatCode="+#,##0;-#,##0;0"/>
    <numFmt numFmtId="168" formatCode="+&quot;$&quot;#,##0;-&quot;$&quot;#,##0;&quot;$&quot;0"/>
  </numFmts>
  <fonts count="6">
    <font>
      <name val="Calibri"/>
      <family val="2"/>
      <color theme="1"/>
      <sz val="11"/>
      <scheme val="minor"/>
    </font>
    <font>
      <name val="Arial"/>
      <b val="1"/>
      <color rgb="000000FF"/>
      <sz val="9"/>
    </font>
    <font>
      <name val="Arial"/>
      <b val="1"/>
      <color rgb="000000FF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A235A"/>
      </patternFill>
    </fill>
    <fill>
      <patternFill patternType="solid">
        <fgColor rgb="00F3E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  <xf numFmtId="165" fontId="4" fillId="3" borderId="1" applyAlignment="1" pivotButton="0" quotePrefix="0" xfId="0">
      <alignment horizontal="right" vertical="center"/>
    </xf>
    <xf numFmtId="166" fontId="4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right" vertical="center"/>
    </xf>
    <xf numFmtId="167" fontId="4" fillId="4" borderId="1" applyAlignment="1" pivotButton="0" quotePrefix="0" xfId="0">
      <alignment horizontal="right" vertical="center"/>
    </xf>
    <xf numFmtId="168" fontId="4" fillId="4" borderId="1" applyAlignment="1" pivotButton="0" quotePrefix="0" xfId="0">
      <alignment horizontal="right" vertical="center"/>
    </xf>
    <xf numFmtId="166" fontId="4" fillId="4" borderId="1" applyAlignment="1" pivotButton="0" quotePrefix="0" xfId="0">
      <alignment horizontal="right" vertical="center"/>
    </xf>
    <xf numFmtId="167" fontId="4" fillId="3" borderId="1" applyAlignment="1" pivotButton="0" quotePrefix="0" xfId="0">
      <alignment horizontal="right" vertical="center"/>
    </xf>
    <xf numFmtId="168" fontId="4" fillId="3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/>
    </xf>
    <xf numFmtId="3" fontId="5" fillId="2" borderId="1" applyAlignment="1" pivotButton="0" quotePrefix="0" xfId="0">
      <alignment horizontal="right" vertical="center"/>
    </xf>
    <xf numFmtId="164" fontId="5" fillId="2" borderId="1" applyAlignment="1" pivotButton="0" quotePrefix="0" xfId="0">
      <alignment horizontal="right" vertical="center"/>
    </xf>
    <xf numFmtId="165" fontId="5" fillId="2" borderId="1" applyAlignment="1" pivotButton="0" quotePrefix="0" xfId="0">
      <alignment horizontal="right" vertical="center"/>
    </xf>
    <xf numFmtId="167" fontId="5" fillId="2" borderId="1" applyAlignment="1" pivotButton="0" quotePrefix="0" xfId="0">
      <alignment horizontal="right" vertical="center"/>
    </xf>
    <xf numFmtId="168" fontId="5" fillId="2" borderId="1" applyAlignment="1" pivotButton="0" quotePrefix="0" xfId="0">
      <alignment horizontal="right" vertical="center"/>
    </xf>
    <xf numFmtId="166" fontId="5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Units Sold vs Marketing Budget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'Sales &amp; Marketing'!B2</f>
            </strRef>
          </tx>
          <spPr>
            <a:solidFill xmlns:a="http://schemas.openxmlformats.org/drawingml/2006/main">
              <a:srgbClr val="7B1FA2"/>
            </a:solidFill>
            <a:ln xmlns:a="http://schemas.openxmlformats.org/drawingml/2006/main">
              <a:prstDash val="solid"/>
            </a:ln>
          </spPr>
          <cat>
            <numRef>
              <f>'Sales &amp; Marketing'!$A$3:$A$5</f>
            </numRef>
          </cat>
          <val>
            <numRef>
              <f>'Sales &amp; Marketing'!$B$3:$B$5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'Sales &amp; Marketing'!C2</f>
            </strRef>
          </tx>
          <spPr>
            <a:ln xmlns:a="http://schemas.openxmlformats.org/drawingml/2006/main" w="20000">
              <a:solidFill>
                <a:srgbClr val="E65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'Sales &amp; Marketing'!$C$3:$C$5</f>
            </numRef>
          </val>
        </ser>
        <axId val="10"/>
        <axId val="2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Units Sold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Marketing Budget ($)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20" customWidth="1" min="3" max="3"/>
    <col width="18" customWidth="1" min="4" max="4"/>
    <col width="20" customWidth="1" min="5" max="5"/>
    <col width="18" customWidth="1" min="6" max="6"/>
    <col width="19" customWidth="1" min="7" max="7"/>
    <col width="22" customWidth="1" min="8" max="8"/>
    <col width="22" customWidth="1" min="10" max="10"/>
  </cols>
  <sheetData>
    <row r="1">
      <c r="J1" s="1" t="inlineStr">
        <is>
          <t>Assumption: Revenue/Unit ($)</t>
        </is>
      </c>
    </row>
    <row r="2" ht="36" customHeight="1">
      <c r="A2" s="2" t="inlineStr">
        <is>
          <t>Month</t>
        </is>
      </c>
      <c r="B2" s="2" t="inlineStr">
        <is>
          <t>Units_Sold</t>
        </is>
      </c>
      <c r="C2" s="2" t="inlineStr">
        <is>
          <t>Marketing_Budget($)</t>
        </is>
      </c>
      <c r="D2" s="2" t="inlineStr">
        <is>
          <t>Revenue per Unit($)</t>
        </is>
      </c>
      <c r="E2" s="2" t="inlineStr">
        <is>
          <t>Cost per Unit Sold($)</t>
        </is>
      </c>
      <c r="F2" s="2" t="inlineStr">
        <is>
          <t>MoM Units Change</t>
        </is>
      </c>
      <c r="G2" s="2" t="inlineStr">
        <is>
          <t>MoM Budget Change</t>
        </is>
      </c>
      <c r="H2" s="2" t="inlineStr">
        <is>
          <t>ROI (Units/$1K Spent)</t>
        </is>
      </c>
      <c r="J2" s="3" t="n">
        <v>25</v>
      </c>
    </row>
    <row r="3">
      <c r="A3" s="4" t="inlineStr">
        <is>
          <t>Jan</t>
        </is>
      </c>
      <c r="B3" s="5" t="n">
        <v>120</v>
      </c>
      <c r="C3" s="6" t="n">
        <v>1000</v>
      </c>
      <c r="D3" s="6">
        <f>B3*$J$2</f>
        <v/>
      </c>
      <c r="E3" s="7">
        <f>C3/B3</f>
        <v/>
      </c>
      <c r="F3" s="4" t="inlineStr">
        <is>
          <t>-</t>
        </is>
      </c>
      <c r="G3" s="4" t="inlineStr">
        <is>
          <t>-</t>
        </is>
      </c>
      <c r="H3" s="8">
        <f>B3/(C3/1000)</f>
        <v/>
      </c>
    </row>
    <row r="4">
      <c r="A4" s="9" t="inlineStr">
        <is>
          <t>Feb</t>
        </is>
      </c>
      <c r="B4" s="10" t="n">
        <v>135</v>
      </c>
      <c r="C4" s="11" t="n">
        <v>1100</v>
      </c>
      <c r="D4" s="11">
        <f>B4*$J$2</f>
        <v/>
      </c>
      <c r="E4" s="12">
        <f>C4/B4</f>
        <v/>
      </c>
      <c r="F4" s="13">
        <f>B4-B3</f>
        <v/>
      </c>
      <c r="G4" s="14">
        <f>C4-C3</f>
        <v/>
      </c>
      <c r="H4" s="15">
        <f>B4/(C4/1000)</f>
        <v/>
      </c>
    </row>
    <row r="5">
      <c r="A5" s="4" t="inlineStr">
        <is>
          <t>Mar</t>
        </is>
      </c>
      <c r="B5" s="5" t="n">
        <v>128</v>
      </c>
      <c r="C5" s="6" t="n">
        <v>1050</v>
      </c>
      <c r="D5" s="6">
        <f>B5*$J$2</f>
        <v/>
      </c>
      <c r="E5" s="7">
        <f>C5/B5</f>
        <v/>
      </c>
      <c r="F5" s="16">
        <f>B5-B4</f>
        <v/>
      </c>
      <c r="G5" s="17">
        <f>C5-C4</f>
        <v/>
      </c>
      <c r="H5" s="8">
        <f>B5/(C5/1000)</f>
        <v/>
      </c>
    </row>
    <row r="6">
      <c r="A6" s="18" t="inlineStr">
        <is>
          <t>TOTAL/AVG</t>
        </is>
      </c>
      <c r="B6" s="19">
        <f>SUM(B3:B5)</f>
        <v/>
      </c>
      <c r="C6" s="20">
        <f>SUM(C3:C5)</f>
        <v/>
      </c>
      <c r="D6" s="20">
        <f>SUM(D3:D5)</f>
        <v/>
      </c>
      <c r="E6" s="21">
        <f>AVERAGE(E3:E5)</f>
        <v/>
      </c>
      <c r="F6" s="22">
        <f>B5-B3</f>
        <v/>
      </c>
      <c r="G6" s="23">
        <f>C5-C3</f>
        <v/>
      </c>
      <c r="H6" s="24">
        <f>AVERAGE(H3:H5)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2026-05-19T05:30:15Z</dcterms:created>
  <dcterms:modified xmlns:dcterms="http://purl.org/dc/terms/" xmlns:xsi="http://www.w3.org/2001/XMLSchema-instance" xsi:type="dcterms:W3CDTF">2026-05-19T05:30:15Z</dcterms:modified>
</cp:coreProperties>
</file>